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ap2\Documents\Accounting Portfolio\"/>
    </mc:Choice>
  </mc:AlternateContent>
  <xr:revisionPtr revIDLastSave="0" documentId="13_ncr:1_{73DAEDF1-94E5-4CBC-A5FB-5E52167BE84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ash Book" sheetId="1" r:id="rId1"/>
    <sheet name="Bank Statement" sheetId="2" r:id="rId2"/>
    <sheet name="Reconcili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3" i="2"/>
  <c r="G12" i="3"/>
  <c r="G18" i="3"/>
  <c r="C15" i="3"/>
  <c r="C10" i="3"/>
  <c r="E24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C22" i="3" l="1"/>
  <c r="C24" i="3" s="1"/>
  <c r="G22" i="3"/>
</calcChain>
</file>

<file path=xl/sharedStrings.xml><?xml version="1.0" encoding="utf-8"?>
<sst xmlns="http://schemas.openxmlformats.org/spreadsheetml/2006/main" count="87" uniqueCount="66">
  <si>
    <t>Date</t>
  </si>
  <si>
    <t>Description</t>
  </si>
  <si>
    <t>Debit</t>
  </si>
  <si>
    <t>Credit</t>
  </si>
  <si>
    <t>Customer Payment - INV 3010</t>
  </si>
  <si>
    <t>Supplier Payment - INV 4003</t>
  </si>
  <si>
    <t>Internet Charges - March</t>
  </si>
  <si>
    <t>Office Rent - March</t>
  </si>
  <si>
    <t>Cleaning Services - March</t>
  </si>
  <si>
    <t>Utility Bill - March</t>
  </si>
  <si>
    <t>Software Subscription - Productivity Suite</t>
  </si>
  <si>
    <t>Customer Payment - INV 3013</t>
  </si>
  <si>
    <t>Wages - March Payroll</t>
  </si>
  <si>
    <t>Courier Charges - March</t>
  </si>
  <si>
    <t>Customer Payment - INV 3011</t>
  </si>
  <si>
    <t>Equipment Purchase - New Desktops</t>
  </si>
  <si>
    <t>Stationery Purchase - March</t>
  </si>
  <si>
    <t>Equipment Maintenance - Air Conditioning</t>
  </si>
  <si>
    <t>Employer Social Security Contribution</t>
  </si>
  <si>
    <t>Supplier Payment - INV 4002</t>
  </si>
  <si>
    <t>Customer Payment - INV 3014</t>
  </si>
  <si>
    <t>Customer Payment - INV 3012</t>
  </si>
  <si>
    <t>Supplier Payment - INV 4001</t>
  </si>
  <si>
    <t>Deposit – Client Transfer</t>
  </si>
  <si>
    <t>Payment – Supplier EFT</t>
  </si>
  <si>
    <t>Online Payment – Internet</t>
  </si>
  <si>
    <t>Online Payment – Office Rent</t>
  </si>
  <si>
    <t>Payment – Cleaning Co.</t>
  </si>
  <si>
    <t>Online Payment – Utilities</t>
  </si>
  <si>
    <t>Online Payment – Software Subscr.</t>
  </si>
  <si>
    <t>ACH Payroll</t>
  </si>
  <si>
    <t>Reversal – Returned Deposit</t>
  </si>
  <si>
    <t>Courier Service Payment</t>
  </si>
  <si>
    <t>Bank Transfer – Equipment Vendor</t>
  </si>
  <si>
    <t>Card Payment – Office Supplies</t>
  </si>
  <si>
    <t>Service Payment – Maint. Co.</t>
  </si>
  <si>
    <t>Govt Tax Remittance</t>
  </si>
  <si>
    <t>Bank Fees</t>
  </si>
  <si>
    <t>Interest Earned</t>
  </si>
  <si>
    <t>Beginning Balance</t>
  </si>
  <si>
    <t>Balance</t>
  </si>
  <si>
    <t>Customer Payment - INV 4309</t>
  </si>
  <si>
    <t>Luna’s Local Goods</t>
  </si>
  <si>
    <t>Bank Reconciliation Statement</t>
  </si>
  <si>
    <t xml:space="preserve">Supplier Payment - INV 4002 </t>
  </si>
  <si>
    <t>As of March 31st 2025</t>
  </si>
  <si>
    <t xml:space="preserve">Bank Statement </t>
  </si>
  <si>
    <t>Unadjusted closing balance:</t>
  </si>
  <si>
    <t>Add deposits in transit:</t>
  </si>
  <si>
    <t>Deduct outstanding checks:</t>
  </si>
  <si>
    <t>Customer Payment - INV 3015</t>
  </si>
  <si>
    <t>-</t>
  </si>
  <si>
    <t xml:space="preserve">Adjusted closing balance (bank): </t>
  </si>
  <si>
    <t>Cash Book</t>
  </si>
  <si>
    <t>Error on check:</t>
  </si>
  <si>
    <t>Customer Payment - INV 2901</t>
  </si>
  <si>
    <t>Bank interest</t>
  </si>
  <si>
    <t>Interest earned:</t>
  </si>
  <si>
    <t>Missing receipts:</t>
  </si>
  <si>
    <t xml:space="preserve">Bank errors: </t>
  </si>
  <si>
    <t>Bank fees</t>
  </si>
  <si>
    <t xml:space="preserve">Bounced checks: </t>
  </si>
  <si>
    <t xml:space="preserve">Unrecorded payment to supplier </t>
  </si>
  <si>
    <t xml:space="preserve">Unreconciled amount: </t>
  </si>
  <si>
    <t>Add:</t>
  </si>
  <si>
    <t>Deduct: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</si>
</sst>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3" fontId="1" fillId="0" borderId="2" xfId="1" applyFont="1" applyFill="1" applyBorder="1" applyAlignment="1">
      <alignment horizontal="center" vertical="top"/>
    </xf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5"/>
    </xf>
    <xf numFmtId="43" fontId="0" fillId="0" borderId="3" xfId="1" applyFont="1" applyBorder="1"/>
    <xf numFmtId="0" fontId="0" fillId="0" borderId="0" xfId="0" applyAlignment="1">
      <alignment horizontal="center" vertical="center"/>
    </xf>
    <xf numFmtId="43" fontId="0" fillId="0" borderId="0" xfId="1" applyFont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/>
    <xf numFmtId="43" fontId="0" fillId="0" borderId="0" xfId="1" applyFont="1" applyAlignment="1">
      <alignment horizontal="center" vertical="center"/>
    </xf>
    <xf numFmtId="43" fontId="2" fillId="0" borderId="0" xfId="1" applyFont="1" applyFill="1" applyBorder="1" applyAlignment="1">
      <alignment horizontal="left" vertical="top"/>
    </xf>
    <xf numFmtId="43" fontId="4" fillId="0" borderId="0" xfId="1" applyFont="1" applyFill="1"/>
    <xf numFmtId="0" fontId="4" fillId="0" borderId="0" xfId="0" applyFont="1" applyAlignment="1">
      <alignment horizontal="left" indent="3"/>
    </xf>
    <xf numFmtId="43" fontId="0" fillId="0" borderId="3" xfId="1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43" fontId="6" fillId="0" borderId="4" xfId="1" applyFont="1" applyBorder="1"/>
    <xf numFmtId="43" fontId="1" fillId="0" borderId="4" xfId="1" applyFont="1" applyBorder="1"/>
    <xf numFmtId="0" fontId="0" fillId="0" borderId="0" xfId="0" applyAlignment="1">
      <alignment horizontal="left" vertical="top"/>
    </xf>
    <xf numFmtId="43" fontId="0" fillId="0" borderId="0" xfId="1" applyFont="1" applyFill="1"/>
    <xf numFmtId="14" fontId="4" fillId="0" borderId="0" xfId="0" applyNumberFormat="1" applyFont="1"/>
    <xf numFmtId="0" fontId="4" fillId="0" borderId="0" xfId="0" applyFont="1"/>
    <xf numFmtId="14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top"/>
    </xf>
    <xf numFmtId="43" fontId="4" fillId="0" borderId="0" xfId="1" applyFont="1" applyFill="1" applyBorder="1" applyAlignment="1">
      <alignment horizontal="left" vertical="top"/>
    </xf>
    <xf numFmtId="43" fontId="4" fillId="0" borderId="0" xfId="1" applyFont="1" applyFill="1" applyAlignment="1">
      <alignment horizontal="left"/>
    </xf>
    <xf numFmtId="14" fontId="0" fillId="0" borderId="0" xfId="0" applyNumberForma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5" workbookViewId="0">
      <selection activeCell="H10" sqref="H10"/>
    </sheetView>
  </sheetViews>
  <sheetFormatPr defaultRowHeight="14.5" x14ac:dyDescent="0.35"/>
  <cols>
    <col min="1" max="1" width="9.453125" style="3" bestFit="1" customWidth="1"/>
    <col min="2" max="2" width="36.7265625" bestFit="1" customWidth="1"/>
    <col min="3" max="3" width="11.6328125" customWidth="1"/>
    <col min="4" max="4" width="11.7265625" customWidth="1"/>
    <col min="5" max="5" width="15.90625" style="5" customWidth="1"/>
  </cols>
  <sheetData>
    <row r="1" spans="1:5" x14ac:dyDescent="0.35">
      <c r="A1" s="2" t="s">
        <v>0</v>
      </c>
      <c r="B1" s="1" t="s">
        <v>1</v>
      </c>
      <c r="C1" s="1" t="s">
        <v>2</v>
      </c>
      <c r="D1" s="1" t="s">
        <v>3</v>
      </c>
      <c r="E1" s="4" t="s">
        <v>40</v>
      </c>
    </row>
    <row r="2" spans="1:5" x14ac:dyDescent="0.35">
      <c r="A2" s="33">
        <v>45717</v>
      </c>
      <c r="B2" s="25" t="s">
        <v>39</v>
      </c>
      <c r="C2" s="34"/>
      <c r="D2" s="34"/>
      <c r="E2" s="26">
        <v>45789.120000000003</v>
      </c>
    </row>
    <row r="3" spans="1:5" x14ac:dyDescent="0.35">
      <c r="A3" s="3">
        <v>45719</v>
      </c>
      <c r="B3" t="s">
        <v>4</v>
      </c>
      <c r="C3" s="26">
        <v>2134.8000000000002</v>
      </c>
      <c r="E3" s="26">
        <f>E2+C3-D3</f>
        <v>47923.920000000006</v>
      </c>
    </row>
    <row r="4" spans="1:5" x14ac:dyDescent="0.35">
      <c r="A4" s="3">
        <v>45720</v>
      </c>
      <c r="B4" t="s">
        <v>5</v>
      </c>
      <c r="D4">
        <v>2917.83</v>
      </c>
      <c r="E4" s="26">
        <f t="shared" ref="E4:E20" si="0">E3+C4-D4</f>
        <v>45006.090000000004</v>
      </c>
    </row>
    <row r="5" spans="1:5" x14ac:dyDescent="0.35">
      <c r="A5" s="3">
        <v>45722</v>
      </c>
      <c r="B5" t="s">
        <v>6</v>
      </c>
      <c r="D5">
        <v>200</v>
      </c>
      <c r="E5" s="26">
        <f t="shared" si="0"/>
        <v>44806.090000000004</v>
      </c>
    </row>
    <row r="6" spans="1:5" x14ac:dyDescent="0.35">
      <c r="A6" s="3">
        <v>45724</v>
      </c>
      <c r="B6" t="s">
        <v>7</v>
      </c>
      <c r="D6">
        <v>1588.66</v>
      </c>
      <c r="E6" s="26">
        <f t="shared" si="0"/>
        <v>43217.43</v>
      </c>
    </row>
    <row r="7" spans="1:5" x14ac:dyDescent="0.35">
      <c r="A7" s="3">
        <v>45726</v>
      </c>
      <c r="B7" t="s">
        <v>8</v>
      </c>
      <c r="D7">
        <v>969.5</v>
      </c>
      <c r="E7" s="26">
        <f t="shared" si="0"/>
        <v>42247.93</v>
      </c>
    </row>
    <row r="8" spans="1:5" x14ac:dyDescent="0.35">
      <c r="A8" s="3">
        <v>45728</v>
      </c>
      <c r="B8" t="s">
        <v>9</v>
      </c>
      <c r="D8" s="26">
        <v>578.32000000000005</v>
      </c>
      <c r="E8" s="26">
        <f t="shared" si="0"/>
        <v>41669.61</v>
      </c>
    </row>
    <row r="9" spans="1:5" x14ac:dyDescent="0.35">
      <c r="A9" s="3">
        <v>45729</v>
      </c>
      <c r="B9" t="s">
        <v>10</v>
      </c>
      <c r="D9">
        <v>300</v>
      </c>
      <c r="E9" s="26">
        <f t="shared" si="0"/>
        <v>41369.61</v>
      </c>
    </row>
    <row r="10" spans="1:5" x14ac:dyDescent="0.35">
      <c r="A10" s="3">
        <v>45731</v>
      </c>
      <c r="B10" t="s">
        <v>44</v>
      </c>
      <c r="D10">
        <v>1600</v>
      </c>
      <c r="E10" s="26">
        <f t="shared" si="0"/>
        <v>39769.61</v>
      </c>
    </row>
    <row r="11" spans="1:5" x14ac:dyDescent="0.35">
      <c r="A11" s="3">
        <v>45732</v>
      </c>
      <c r="B11" t="s">
        <v>11</v>
      </c>
      <c r="C11">
        <v>2889.09</v>
      </c>
      <c r="E11" s="26">
        <f t="shared" si="0"/>
        <v>42658.7</v>
      </c>
    </row>
    <row r="12" spans="1:5" x14ac:dyDescent="0.35">
      <c r="A12" s="3">
        <v>45733</v>
      </c>
      <c r="B12" t="s">
        <v>12</v>
      </c>
      <c r="D12">
        <v>394.51</v>
      </c>
      <c r="E12" s="26">
        <f t="shared" si="0"/>
        <v>42264.189999999995</v>
      </c>
    </row>
    <row r="13" spans="1:5" x14ac:dyDescent="0.35">
      <c r="A13" s="3">
        <v>45734</v>
      </c>
      <c r="B13" t="s">
        <v>41</v>
      </c>
      <c r="C13" s="26">
        <v>3287.9</v>
      </c>
      <c r="E13" s="26">
        <f t="shared" si="0"/>
        <v>45552.09</v>
      </c>
    </row>
    <row r="14" spans="1:5" x14ac:dyDescent="0.35">
      <c r="A14" s="3">
        <v>45737</v>
      </c>
      <c r="B14" t="s">
        <v>13</v>
      </c>
      <c r="D14">
        <v>2505.1</v>
      </c>
      <c r="E14" s="26">
        <f t="shared" si="0"/>
        <v>43046.99</v>
      </c>
    </row>
    <row r="15" spans="1:5" x14ac:dyDescent="0.35">
      <c r="A15" s="3">
        <v>45738</v>
      </c>
      <c r="B15" t="s">
        <v>14</v>
      </c>
      <c r="C15">
        <v>2489.1799999999998</v>
      </c>
      <c r="E15" s="26">
        <f t="shared" si="0"/>
        <v>45536.17</v>
      </c>
    </row>
    <row r="16" spans="1:5" x14ac:dyDescent="0.35">
      <c r="A16" s="3">
        <v>45739</v>
      </c>
      <c r="B16" t="s">
        <v>15</v>
      </c>
      <c r="D16">
        <v>1478.91</v>
      </c>
      <c r="E16" s="26">
        <f t="shared" si="0"/>
        <v>44057.259999999995</v>
      </c>
    </row>
    <row r="17" spans="1:5" x14ac:dyDescent="0.35">
      <c r="A17" s="3">
        <v>45742</v>
      </c>
      <c r="B17" t="s">
        <v>16</v>
      </c>
      <c r="D17">
        <v>432.85</v>
      </c>
      <c r="E17" s="26">
        <f t="shared" si="0"/>
        <v>43624.409999999996</v>
      </c>
    </row>
    <row r="18" spans="1:5" x14ac:dyDescent="0.35">
      <c r="A18" s="3">
        <v>45743</v>
      </c>
      <c r="B18" t="s">
        <v>17</v>
      </c>
      <c r="D18">
        <v>2119.04</v>
      </c>
      <c r="E18" s="26">
        <f t="shared" si="0"/>
        <v>41505.369999999995</v>
      </c>
    </row>
    <row r="19" spans="1:5" x14ac:dyDescent="0.35">
      <c r="A19" s="3">
        <v>45745</v>
      </c>
      <c r="B19" t="s">
        <v>18</v>
      </c>
      <c r="D19">
        <v>1341.87</v>
      </c>
      <c r="E19" s="26">
        <f t="shared" si="0"/>
        <v>40163.499999999993</v>
      </c>
    </row>
    <row r="20" spans="1:5" x14ac:dyDescent="0.35">
      <c r="A20" s="3">
        <v>45746</v>
      </c>
      <c r="B20" t="s">
        <v>19</v>
      </c>
      <c r="D20">
        <v>1988.36</v>
      </c>
      <c r="E20" s="26">
        <f t="shared" si="0"/>
        <v>38175.139999999992</v>
      </c>
    </row>
    <row r="21" spans="1:5" x14ac:dyDescent="0.35">
      <c r="A21" s="3">
        <v>45746</v>
      </c>
      <c r="B21" t="s">
        <v>20</v>
      </c>
      <c r="C21">
        <v>1850</v>
      </c>
      <c r="E21" s="26">
        <f>E20+C21-D21</f>
        <v>40025.139999999992</v>
      </c>
    </row>
    <row r="22" spans="1:5" x14ac:dyDescent="0.35">
      <c r="A22" s="3">
        <v>45746</v>
      </c>
      <c r="B22" t="s">
        <v>22</v>
      </c>
      <c r="D22">
        <v>590.84</v>
      </c>
      <c r="E22" s="26">
        <f>E21+C22-D22</f>
        <v>39434.299999999996</v>
      </c>
    </row>
    <row r="23" spans="1:5" x14ac:dyDescent="0.35">
      <c r="A23" s="3">
        <v>45747</v>
      </c>
      <c r="B23" t="s">
        <v>21</v>
      </c>
      <c r="C23">
        <v>1555.49</v>
      </c>
      <c r="E23" s="26">
        <f>E22+C23-D23</f>
        <v>40989.789999999994</v>
      </c>
    </row>
    <row r="24" spans="1:5" x14ac:dyDescent="0.35">
      <c r="A24" s="3">
        <v>45747</v>
      </c>
      <c r="B24" t="s">
        <v>50</v>
      </c>
      <c r="C24">
        <v>675.21</v>
      </c>
      <c r="E24" s="26">
        <f>E23+C24-D24</f>
        <v>41664.999999999993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C6" sqref="C6"/>
    </sheetView>
  </sheetViews>
  <sheetFormatPr defaultRowHeight="14.5" x14ac:dyDescent="0.35"/>
  <cols>
    <col min="1" max="1" width="12.26953125" style="3" customWidth="1"/>
    <col min="2" max="2" width="30.36328125" bestFit="1" customWidth="1"/>
    <col min="3" max="3" width="12.54296875" style="5" customWidth="1"/>
    <col min="4" max="4" width="11.453125" style="5" customWidth="1"/>
    <col min="5" max="5" width="15.90625" style="5" customWidth="1"/>
  </cols>
  <sheetData>
    <row r="1" spans="1:6" x14ac:dyDescent="0.35">
      <c r="A1" s="2" t="s">
        <v>0</v>
      </c>
      <c r="B1" s="1" t="s">
        <v>1</v>
      </c>
      <c r="C1" s="6" t="s">
        <v>2</v>
      </c>
      <c r="D1" s="6" t="s">
        <v>3</v>
      </c>
      <c r="E1" s="4" t="s">
        <v>40</v>
      </c>
    </row>
    <row r="2" spans="1:6" s="7" customFormat="1" x14ac:dyDescent="0.35">
      <c r="A2" s="29">
        <v>45717</v>
      </c>
      <c r="B2" s="30" t="s">
        <v>39</v>
      </c>
      <c r="C2" s="31"/>
      <c r="D2" s="31"/>
      <c r="E2" s="32">
        <v>45789.120000000003</v>
      </c>
      <c r="F2" s="11"/>
    </row>
    <row r="3" spans="1:6" s="7" customFormat="1" x14ac:dyDescent="0.35">
      <c r="A3" s="29">
        <v>45717</v>
      </c>
      <c r="B3" s="28" t="s">
        <v>23</v>
      </c>
      <c r="C3" s="31"/>
      <c r="D3" s="31">
        <v>786.87</v>
      </c>
      <c r="E3" s="18">
        <f>E2-C3+D3</f>
        <v>46575.990000000005</v>
      </c>
      <c r="F3" s="11"/>
    </row>
    <row r="4" spans="1:6" x14ac:dyDescent="0.35">
      <c r="A4" s="27">
        <v>45719</v>
      </c>
      <c r="B4" s="28" t="s">
        <v>23</v>
      </c>
      <c r="C4" s="18"/>
      <c r="D4" s="18">
        <v>2134.8000000000002</v>
      </c>
      <c r="E4" s="18">
        <f t="shared" ref="E4:E26" si="0">E3-C4+D4</f>
        <v>48710.790000000008</v>
      </c>
    </row>
    <row r="5" spans="1:6" x14ac:dyDescent="0.35">
      <c r="A5" s="27">
        <v>45720</v>
      </c>
      <c r="B5" s="28" t="s">
        <v>24</v>
      </c>
      <c r="C5" s="18">
        <v>2917.83</v>
      </c>
      <c r="D5" s="18"/>
      <c r="E5" s="18">
        <f t="shared" si="0"/>
        <v>45792.960000000006</v>
      </c>
    </row>
    <row r="6" spans="1:6" x14ac:dyDescent="0.35">
      <c r="A6" s="27">
        <v>45722</v>
      </c>
      <c r="B6" s="28" t="s">
        <v>25</v>
      </c>
      <c r="C6" s="18">
        <v>200</v>
      </c>
      <c r="D6" s="18"/>
      <c r="E6" s="18">
        <f t="shared" si="0"/>
        <v>45592.960000000006</v>
      </c>
    </row>
    <row r="7" spans="1:6" x14ac:dyDescent="0.35">
      <c r="A7" s="27">
        <v>45724</v>
      </c>
      <c r="B7" s="28" t="s">
        <v>26</v>
      </c>
      <c r="C7" s="18">
        <v>1588.66</v>
      </c>
      <c r="D7" s="18"/>
      <c r="E7" s="18">
        <f t="shared" si="0"/>
        <v>44004.3</v>
      </c>
    </row>
    <row r="8" spans="1:6" x14ac:dyDescent="0.35">
      <c r="A8" s="27">
        <v>45726</v>
      </c>
      <c r="B8" s="28" t="s">
        <v>27</v>
      </c>
      <c r="C8" s="18">
        <v>969.5</v>
      </c>
      <c r="D8" s="18"/>
      <c r="E8" s="18">
        <f t="shared" si="0"/>
        <v>43034.8</v>
      </c>
    </row>
    <row r="9" spans="1:6" x14ac:dyDescent="0.35">
      <c r="A9" s="27">
        <v>45728</v>
      </c>
      <c r="B9" s="28" t="s">
        <v>28</v>
      </c>
      <c r="C9" s="18">
        <v>578.32000000000005</v>
      </c>
      <c r="D9" s="18"/>
      <c r="E9" s="18">
        <f t="shared" si="0"/>
        <v>42456.480000000003</v>
      </c>
    </row>
    <row r="10" spans="1:6" x14ac:dyDescent="0.35">
      <c r="A10" s="27">
        <v>45729</v>
      </c>
      <c r="B10" s="28" t="s">
        <v>29</v>
      </c>
      <c r="C10" s="18">
        <v>300</v>
      </c>
      <c r="D10" s="18"/>
      <c r="E10" s="18">
        <f t="shared" si="0"/>
        <v>42156.480000000003</v>
      </c>
    </row>
    <row r="11" spans="1:6" x14ac:dyDescent="0.35">
      <c r="A11" s="27">
        <v>45731</v>
      </c>
      <c r="B11" s="28" t="s">
        <v>24</v>
      </c>
      <c r="C11" s="18">
        <v>1600</v>
      </c>
      <c r="D11" s="18"/>
      <c r="E11" s="18">
        <f t="shared" si="0"/>
        <v>40556.480000000003</v>
      </c>
    </row>
    <row r="12" spans="1:6" x14ac:dyDescent="0.35">
      <c r="A12" s="27">
        <v>45732</v>
      </c>
      <c r="B12" s="28" t="s">
        <v>23</v>
      </c>
      <c r="C12" s="18"/>
      <c r="D12" s="18">
        <v>2889.09</v>
      </c>
      <c r="E12" s="18">
        <f t="shared" si="0"/>
        <v>43445.570000000007</v>
      </c>
    </row>
    <row r="13" spans="1:6" x14ac:dyDescent="0.35">
      <c r="A13" s="27">
        <v>45733</v>
      </c>
      <c r="B13" s="28" t="s">
        <v>30</v>
      </c>
      <c r="C13" s="18">
        <v>394.51</v>
      </c>
      <c r="D13" s="18"/>
      <c r="E13" s="18">
        <f t="shared" si="0"/>
        <v>43051.060000000005</v>
      </c>
    </row>
    <row r="14" spans="1:6" x14ac:dyDescent="0.35">
      <c r="A14" s="27">
        <v>45734</v>
      </c>
      <c r="B14" s="28" t="s">
        <v>23</v>
      </c>
      <c r="C14" s="18"/>
      <c r="D14" s="18">
        <v>3287.9</v>
      </c>
      <c r="E14" s="18">
        <f t="shared" si="0"/>
        <v>46338.960000000006</v>
      </c>
    </row>
    <row r="15" spans="1:6" x14ac:dyDescent="0.35">
      <c r="A15" s="27">
        <v>45736</v>
      </c>
      <c r="B15" s="28" t="s">
        <v>31</v>
      </c>
      <c r="C15" s="18">
        <v>654.98</v>
      </c>
      <c r="D15" s="18">
        <v>0</v>
      </c>
      <c r="E15" s="18">
        <f t="shared" si="0"/>
        <v>45683.98</v>
      </c>
    </row>
    <row r="16" spans="1:6" x14ac:dyDescent="0.35">
      <c r="A16" s="27">
        <v>45737</v>
      </c>
      <c r="B16" s="28" t="s">
        <v>32</v>
      </c>
      <c r="C16" s="18">
        <v>2505.1</v>
      </c>
      <c r="D16" s="18"/>
      <c r="E16" s="18">
        <f t="shared" si="0"/>
        <v>43178.880000000005</v>
      </c>
    </row>
    <row r="17" spans="1:5" x14ac:dyDescent="0.35">
      <c r="A17" s="27">
        <v>45738</v>
      </c>
      <c r="B17" s="28" t="s">
        <v>23</v>
      </c>
      <c r="C17" s="18"/>
      <c r="D17" s="18">
        <v>2489.1799999999998</v>
      </c>
      <c r="E17" s="18">
        <f t="shared" si="0"/>
        <v>45668.060000000005</v>
      </c>
    </row>
    <row r="18" spans="1:5" x14ac:dyDescent="0.35">
      <c r="A18" s="27">
        <v>45739</v>
      </c>
      <c r="B18" s="28" t="s">
        <v>33</v>
      </c>
      <c r="C18" s="18">
        <v>1478.19</v>
      </c>
      <c r="D18" s="18"/>
      <c r="E18" s="18">
        <f t="shared" si="0"/>
        <v>44189.87</v>
      </c>
    </row>
    <row r="19" spans="1:5" x14ac:dyDescent="0.35">
      <c r="A19" s="27">
        <v>45742</v>
      </c>
      <c r="B19" s="28" t="s">
        <v>34</v>
      </c>
      <c r="C19" s="18">
        <v>432.85</v>
      </c>
      <c r="D19" s="18"/>
      <c r="E19" s="18">
        <f t="shared" si="0"/>
        <v>43757.020000000004</v>
      </c>
    </row>
    <row r="20" spans="1:5" x14ac:dyDescent="0.35">
      <c r="A20" s="27">
        <v>45743</v>
      </c>
      <c r="B20" s="28" t="s">
        <v>35</v>
      </c>
      <c r="C20" s="18">
        <v>2119.04</v>
      </c>
      <c r="D20" s="18"/>
      <c r="E20" s="18">
        <f t="shared" si="0"/>
        <v>41637.980000000003</v>
      </c>
    </row>
    <row r="21" spans="1:5" x14ac:dyDescent="0.35">
      <c r="A21" s="27">
        <v>45744</v>
      </c>
      <c r="B21" s="28" t="s">
        <v>24</v>
      </c>
      <c r="C21" s="18">
        <v>769.6</v>
      </c>
      <c r="D21" s="18"/>
      <c r="E21" s="18">
        <f t="shared" si="0"/>
        <v>40868.380000000005</v>
      </c>
    </row>
    <row r="22" spans="1:5" x14ac:dyDescent="0.35">
      <c r="A22" s="27">
        <v>45745</v>
      </c>
      <c r="B22" s="28" t="s">
        <v>36</v>
      </c>
      <c r="C22" s="18">
        <v>1341.87</v>
      </c>
      <c r="D22" s="18"/>
      <c r="E22" s="18">
        <f t="shared" si="0"/>
        <v>39526.51</v>
      </c>
    </row>
    <row r="23" spans="1:5" x14ac:dyDescent="0.35">
      <c r="A23" s="27">
        <v>45746</v>
      </c>
      <c r="B23" s="28" t="s">
        <v>24</v>
      </c>
      <c r="C23" s="18">
        <v>1988.36</v>
      </c>
      <c r="D23" s="18"/>
      <c r="E23" s="18">
        <f t="shared" si="0"/>
        <v>37538.15</v>
      </c>
    </row>
    <row r="24" spans="1:5" x14ac:dyDescent="0.35">
      <c r="A24" s="27">
        <v>45747</v>
      </c>
      <c r="B24" s="28" t="s">
        <v>23</v>
      </c>
      <c r="C24" s="18"/>
      <c r="D24" s="18">
        <v>1555.49</v>
      </c>
      <c r="E24" s="18">
        <f t="shared" si="0"/>
        <v>39093.64</v>
      </c>
    </row>
    <row r="25" spans="1:5" x14ac:dyDescent="0.35">
      <c r="A25" s="27">
        <v>45747</v>
      </c>
      <c r="B25" s="28" t="s">
        <v>37</v>
      </c>
      <c r="C25" s="18">
        <v>10</v>
      </c>
      <c r="D25" s="18"/>
      <c r="E25" s="18">
        <f t="shared" si="0"/>
        <v>39083.64</v>
      </c>
    </row>
    <row r="26" spans="1:5" x14ac:dyDescent="0.35">
      <c r="A26" s="27">
        <v>45747</v>
      </c>
      <c r="B26" s="28" t="s">
        <v>38</v>
      </c>
      <c r="C26" s="18"/>
      <c r="D26" s="18">
        <v>51.18</v>
      </c>
      <c r="E26" s="18">
        <f t="shared" si="0"/>
        <v>39134.82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57DFB-254E-4471-BD21-11A4E55BA868}">
  <dimension ref="A1:G30"/>
  <sheetViews>
    <sheetView tabSelected="1" zoomScale="80" zoomScaleNormal="80" workbookViewId="0">
      <selection activeCell="E6" sqref="E6"/>
    </sheetView>
  </sheetViews>
  <sheetFormatPr defaultRowHeight="14.5" x14ac:dyDescent="0.35"/>
  <cols>
    <col min="1" max="1" width="37.6328125" customWidth="1"/>
    <col min="2" max="2" width="10.08984375" customWidth="1"/>
    <col min="3" max="3" width="11.54296875" style="5" customWidth="1"/>
    <col min="4" max="4" width="2.90625" customWidth="1"/>
    <col min="5" max="5" width="32.36328125" customWidth="1"/>
    <col min="6" max="6" width="12.1796875" customWidth="1"/>
    <col min="7" max="7" width="10.6328125" style="5" bestFit="1" customWidth="1"/>
    <col min="8" max="8" width="10.08984375" bestFit="1" customWidth="1"/>
  </cols>
  <sheetData>
    <row r="1" spans="1:7" ht="21" x14ac:dyDescent="0.5">
      <c r="A1" s="35" t="s">
        <v>42</v>
      </c>
      <c r="B1" s="35"/>
      <c r="C1" s="35"/>
      <c r="D1" s="35"/>
      <c r="E1" s="35"/>
      <c r="F1" s="35"/>
      <c r="G1" s="35"/>
    </row>
    <row r="2" spans="1:7" ht="15.5" x14ac:dyDescent="0.35">
      <c r="A2" s="36" t="s">
        <v>43</v>
      </c>
      <c r="B2" s="36"/>
      <c r="C2" s="36"/>
      <c r="D2" s="36"/>
      <c r="E2" s="36"/>
      <c r="F2" s="36"/>
      <c r="G2" s="36"/>
    </row>
    <row r="3" spans="1:7" x14ac:dyDescent="0.35">
      <c r="A3" s="37" t="s">
        <v>45</v>
      </c>
      <c r="B3" s="37"/>
      <c r="C3" s="37"/>
      <c r="D3" s="37"/>
      <c r="E3" s="37"/>
      <c r="F3" s="37"/>
      <c r="G3" s="37"/>
    </row>
    <row r="4" spans="1:7" x14ac:dyDescent="0.35">
      <c r="A4" s="38" t="s">
        <v>46</v>
      </c>
      <c r="B4" s="38"/>
      <c r="C4" s="38"/>
      <c r="E4" s="38" t="s">
        <v>53</v>
      </c>
      <c r="F4" s="38"/>
      <c r="G4" s="38"/>
    </row>
    <row r="6" spans="1:7" x14ac:dyDescent="0.35">
      <c r="A6" t="s">
        <v>47</v>
      </c>
      <c r="C6" s="5">
        <v>39134.82</v>
      </c>
      <c r="E6" t="s">
        <v>47</v>
      </c>
      <c r="G6" s="5">
        <v>41664.999999999993</v>
      </c>
    </row>
    <row r="7" spans="1:7" s="5" customFormat="1" x14ac:dyDescent="0.35">
      <c r="A7"/>
      <c r="B7"/>
      <c r="D7"/>
      <c r="E7"/>
      <c r="F7"/>
    </row>
    <row r="8" spans="1:7" x14ac:dyDescent="0.35">
      <c r="A8" s="21" t="s">
        <v>48</v>
      </c>
      <c r="E8" s="21" t="s">
        <v>64</v>
      </c>
    </row>
    <row r="9" spans="1:7" x14ac:dyDescent="0.35">
      <c r="A9" s="14" t="s">
        <v>20</v>
      </c>
      <c r="B9" s="5">
        <v>1850</v>
      </c>
      <c r="E9" s="13" t="s">
        <v>57</v>
      </c>
    </row>
    <row r="10" spans="1:7" x14ac:dyDescent="0.35">
      <c r="A10" s="14" t="s">
        <v>50</v>
      </c>
      <c r="B10">
        <v>675.21</v>
      </c>
      <c r="C10" s="10">
        <f>SUM(B9:B10)</f>
        <v>2525.21</v>
      </c>
      <c r="E10" s="8" t="s">
        <v>56</v>
      </c>
      <c r="F10">
        <v>51.18</v>
      </c>
      <c r="G10"/>
    </row>
    <row r="11" spans="1:7" x14ac:dyDescent="0.35">
      <c r="E11" s="13" t="s">
        <v>58</v>
      </c>
    </row>
    <row r="12" spans="1:7" x14ac:dyDescent="0.35">
      <c r="A12" s="7"/>
      <c r="E12" s="8" t="s">
        <v>55</v>
      </c>
      <c r="F12" s="17">
        <v>786.87</v>
      </c>
      <c r="G12" s="10">
        <f>SUM(F10:F12)</f>
        <v>838.05</v>
      </c>
    </row>
    <row r="14" spans="1:7" x14ac:dyDescent="0.35">
      <c r="A14" s="21" t="s">
        <v>49</v>
      </c>
      <c r="E14" s="22" t="s">
        <v>65</v>
      </c>
    </row>
    <row r="15" spans="1:7" x14ac:dyDescent="0.35">
      <c r="A15" s="14" t="s">
        <v>22</v>
      </c>
      <c r="B15" s="12">
        <v>590.84</v>
      </c>
      <c r="C15" s="10">
        <f>SUM(B15)*-1</f>
        <v>-590.84</v>
      </c>
      <c r="E15" s="13" t="s">
        <v>60</v>
      </c>
      <c r="F15">
        <v>10</v>
      </c>
    </row>
    <row r="16" spans="1:7" x14ac:dyDescent="0.35">
      <c r="C16" s="16" t="s">
        <v>51</v>
      </c>
      <c r="E16" s="13" t="s">
        <v>61</v>
      </c>
    </row>
    <row r="17" spans="1:7" x14ac:dyDescent="0.35">
      <c r="C17" s="16"/>
      <c r="E17" s="19" t="s">
        <v>31</v>
      </c>
      <c r="F17" s="18">
        <v>654.98</v>
      </c>
    </row>
    <row r="18" spans="1:7" x14ac:dyDescent="0.35">
      <c r="C18" s="12"/>
      <c r="E18" s="13" t="s">
        <v>62</v>
      </c>
      <c r="F18">
        <v>769.6</v>
      </c>
      <c r="G18" s="10">
        <f>(SUM(F15:F18))*-1</f>
        <v>-1434.58</v>
      </c>
    </row>
    <row r="19" spans="1:7" x14ac:dyDescent="0.35">
      <c r="C19" s="12"/>
    </row>
    <row r="20" spans="1:7" x14ac:dyDescent="0.35">
      <c r="A20" t="s">
        <v>59</v>
      </c>
      <c r="C20" s="20" t="s">
        <v>51</v>
      </c>
      <c r="E20" t="s">
        <v>54</v>
      </c>
      <c r="G20" s="10">
        <v>0.72</v>
      </c>
    </row>
    <row r="21" spans="1:7" x14ac:dyDescent="0.35">
      <c r="C21" s="12"/>
    </row>
    <row r="22" spans="1:7" ht="15" thickBot="1" x14ac:dyDescent="0.4">
      <c r="A22" s="15" t="s">
        <v>52</v>
      </c>
      <c r="C22" s="23">
        <f>SUM(C6+C10+C15)</f>
        <v>41069.19</v>
      </c>
      <c r="E22" s="15" t="s">
        <v>52</v>
      </c>
      <c r="G22" s="24">
        <f>SUM(G6+G12+G18+G20)</f>
        <v>41069.189999999995</v>
      </c>
    </row>
    <row r="23" spans="1:7" ht="15" thickTop="1" x14ac:dyDescent="0.35"/>
    <row r="24" spans="1:7" x14ac:dyDescent="0.35">
      <c r="A24" s="21" t="s">
        <v>63</v>
      </c>
      <c r="C24" s="5">
        <f>C22-G22</f>
        <v>0</v>
      </c>
    </row>
    <row r="25" spans="1:7" x14ac:dyDescent="0.35">
      <c r="A25" s="9"/>
    </row>
    <row r="28" spans="1:7" ht="18.5" customHeight="1" x14ac:dyDescent="0.35"/>
    <row r="29" spans="1:7" ht="15.5" customHeight="1" x14ac:dyDescent="0.35"/>
    <row r="30" spans="1:7" ht="15.5" customHeight="1" x14ac:dyDescent="0.35"/>
  </sheetData>
  <mergeCells count="5">
    <mergeCell ref="A1:G1"/>
    <mergeCell ref="A2:G2"/>
    <mergeCell ref="A3:G3"/>
    <mergeCell ref="A4:C4"/>
    <mergeCell ref="E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 Book</vt:lpstr>
      <vt:lpstr>Bank Statement</vt:lpstr>
      <vt:lpstr>Reconciliation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Zapata</cp:lastModifiedBy>
  <dcterms:created xsi:type="dcterms:W3CDTF">2025-04-24T02:02:58Z</dcterms:created>
  <dcterms:modified xsi:type="dcterms:W3CDTF">2025-09-19T04:23:24Z</dcterms:modified>
</cp:coreProperties>
</file>